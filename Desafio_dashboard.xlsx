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ron\dio\Desafio Dashboard\"/>
    </mc:Choice>
  </mc:AlternateContent>
  <xr:revisionPtr revIDLastSave="0" documentId="13_ncr:1_{7133AF99-3145-40D0-AF29-5D6D4A72129B}" xr6:coauthVersionLast="47" xr6:coauthVersionMax="47" xr10:uidLastSave="{00000000-0000-0000-0000-000000000000}"/>
  <bookViews>
    <workbookView xWindow="-120" yWindow="-120" windowWidth="29040" windowHeight="158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3" l="1"/>
  <c r="E29" i="3"/>
  <c r="E28" i="3"/>
  <c r="E40" i="3"/>
</calcChain>
</file>

<file path=xl/sharedStrings.xml><?xml version="1.0" encoding="utf-8"?>
<sst xmlns="http://schemas.openxmlformats.org/spreadsheetml/2006/main" count="2041" uniqueCount="339">
  <si>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</si>
  <si>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</si>
  <si>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</si>
  <si>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</si>
  <si>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</si>
  <si>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</si>
  <si>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</si>
  <si>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</si>
  <si>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</si>
  <si>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</si>
  <si>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</si>
  <si>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</si>
  <si>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</si>
  <si>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</si>
  <si>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</si>
  <si>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</si>
  <si>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</si>
  <si>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</si>
  <si>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</si>
  <si>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</si>
  <si>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</si>
  <si>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</si>
  <si>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</si>
  <si>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</si>
  <si>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</si>
  <si>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</si>
  <si>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</si>
  <si>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</si>
  <si>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</si>
  <si>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</si>
  <si>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</si>
  <si>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</si>
  <si>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</si>
  <si>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</si>
  <si>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</si>
  <si>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</si>
  <si>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</si>
  <si>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</si>
  <si>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</si>
  <si>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</si>
  <si>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</si>
  <si>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</si>
  <si>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</si>
  <si>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</si>
  <si>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</si>
  <si>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</si>
  <si>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</si>
  <si>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</si>
  <si>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</si>
  <si>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</si>
  <si>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</si>
  <si>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</si>
  <si>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</si>
  <si>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</si>
  <si>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</si>
  <si>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</si>
  <si>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</si>
  <si>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</si>
  <si>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</si>
  <si>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</si>
  <si>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</si>
  <si>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</si>
  <si>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</si>
  <si>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</si>
  <si>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</si>
  <si>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</si>
  <si>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</si>
  <si>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</si>
  <si>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</si>
  <si>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</si>
  <si>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</si>
  <si>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</si>
  <si>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</si>
  <si>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</si>
  <si>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</si>
  <si>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</si>
  <si>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</si>
  <si>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</si>
  <si>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</si>
  <si>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</si>
  <si>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</si>
  <si>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</si>
  <si>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</si>
  <si>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</si>
  <si>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</si>
  <si>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</si>
  <si>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</si>
  <si>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</si>
  <si>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</si>
  <si>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</si>
  <si>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</si>
  <si>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</si>
  <si>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</si>
  <si>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</si>
  <si>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</si>
  <si>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</si>
  <si>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</si>
  <si>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</si>
  <si>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</si>
  <si>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</si>
  <si>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</si>
  <si>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</si>
  <si>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</si>
  <si>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</si>
  <si>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</si>
  <si>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</si>
  <si>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</si>
  <si>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</si>
  <si>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</si>
  <si>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</si>
  <si>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</si>
  <si>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</si>
  <si>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</si>
  <si>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</si>
  <si>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</si>
  <si>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</si>
  <si>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</si>
  <si>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</si>
  <si>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</si>
  <si>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</si>
  <si>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</si>
  <si>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</si>
  <si>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</si>
  <si>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</si>
  <si>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</si>
  <si>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</si>
  <si>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</si>
  <si>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</si>
  <si>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</si>
  <si>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</si>
  <si>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</si>
  <si>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</si>
  <si>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</si>
  <si>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</si>
  <si>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</si>
  <si>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</si>
  <si>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</si>
  <si>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</si>
  <si>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</si>
  <si>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</si>
  <si>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</si>
  <si>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</si>
  <si>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</si>
  <si>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</si>
  <si>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</si>
  <si>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</si>
  <si>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</si>
  <si>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</si>
  <si>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</si>
  <si>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</si>
  <si>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</si>
  <si>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</si>
  <si>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</si>
  <si>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</si>
  <si>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</si>
  <si>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</si>
  <si>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</si>
  <si>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</si>
  <si>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</si>
  <si>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</si>
  <si>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</si>
  <si>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</si>
  <si>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</si>
  <si>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</si>
  <si>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</si>
  <si>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</si>
  <si>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</si>
  <si>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</si>
  <si>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</si>
  <si>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</si>
  <si>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</si>
  <si>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</si>
  <si>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</si>
  <si>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</si>
  <si>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</si>
  <si>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</si>
  <si>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</si>
  <si>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</si>
  <si>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</si>
  <si>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</si>
  <si>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</si>
  <si>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</si>
  <si>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</si>
  <si>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</si>
  <si>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</si>
  <si>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</si>
  <si>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</si>
  <si>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</si>
  <si>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</si>
  <si>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</si>
  <si>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</si>
  <si>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</si>
  <si>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</si>
  <si>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</si>
  <si>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</si>
  <si>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</si>
  <si>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</si>
  <si>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</si>
  <si>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</si>
  <si>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</si>
  <si>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</si>
  <si>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</si>
  <si>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</si>
  <si>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</si>
  <si>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</si>
  <si>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</si>
  <si>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</si>
  <si>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</si>
  <si>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</si>
  <si>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</si>
  <si>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</si>
  <si>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</si>
  <si>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</si>
  <si>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</si>
  <si>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</si>
  <si>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</si>
  <si>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</si>
  <si>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</si>
  <si>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</si>
  <si>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</si>
  <si>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</si>
  <si>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</si>
  <si>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</si>
  <si>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</si>
  <si>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</si>
  <si>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</si>
  <si>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</si>
  <si>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</si>
  <si>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</si>
  <si>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</si>
  <si>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</si>
  <si>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</si>
  <si>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</si>
  <si>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</si>
  <si>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</si>
  <si>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</si>
  <si>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</si>
  <si>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</si>
  <si>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</si>
  <si>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</si>
  <si>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</si>
  <si>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</si>
  <si>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</si>
  <si>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</si>
  <si>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</si>
  <si>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</si>
  <si>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</si>
  <si>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</si>
  <si>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</si>
  <si>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</si>
  <si>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</si>
  <si>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</si>
  <si>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</si>
  <si>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</si>
  <si>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</si>
  <si>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</si>
  <si>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</si>
  <si>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</si>
  <si>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</si>
  <si>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</si>
  <si>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</si>
  <si>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</si>
  <si>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</si>
  <si>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</si>
  <si>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</si>
  <si>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</si>
  <si>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</si>
  <si>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</si>
  <si>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</si>
  <si>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</si>
  <si>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</si>
  <si>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</si>
  <si>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</si>
  <si>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</si>
  <si>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</si>
  <si>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</si>
  <si>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</si>
  <si>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</si>
  <si>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</si>
  <si>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</si>
  <si>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</si>
  <si>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</si>
  <si>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</si>
  <si>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</si>
  <si>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</si>
  <si>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</si>
  <si>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</si>
  <si>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</si>
  <si>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</si>
  <si>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</si>
  <si>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</si>
  <si>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</si>
  <si>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</si>
  <si>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</si>
  <si>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</si>
  <si>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</si>
  <si>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</si>
  <si>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</si>
  <si>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</si>
  <si>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</si>
  <si>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</si>
  <si>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</si>
  <si>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</si>
  <si>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</si>
  <si>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</si>
  <si>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</si>
  <si>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</si>
  <si>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</si>
  <si>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</si>
  <si>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</si>
  <si>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</si>
  <si>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</si>
  <si>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</si>
  <si>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específico</t>
  </si>
  <si>
    <t>Rótulos de Linha</t>
  </si>
  <si>
    <t>Total Geral</t>
  </si>
  <si>
    <t>Soma de Total Value</t>
  </si>
  <si>
    <t>Pergunta de negócio 1 - qual faturamento Total de vendas de planos anuais (contendo todas as assinaturas agregadas)</t>
  </si>
  <si>
    <t>Pergunta de negócio 2 - Qual faturamento Total de vendas de planos anuais, separado por auto renovação</t>
  </si>
  <si>
    <t>Pergunta de negócio 3 - Total de vendas de assinatura EA Play</t>
  </si>
  <si>
    <t>Soma de EA Play Season Pass</t>
  </si>
  <si>
    <t>XBOX GAME PASS SUBSCRIPTION SALES</t>
  </si>
  <si>
    <t>Pergunta de negócio 4 - Total de vendas de assinatura do Minecraft</t>
  </si>
  <si>
    <t>Soma de Minecraft Season Pass Price</t>
  </si>
  <si>
    <t>Pergunta de negócio 5 - Total de vendas por mês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</si>
  <si>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</si>
  <si>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</si>
  <si>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</si>
  <si>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</si>
  <si>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</si>
  <si>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</si>
  <si>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</si>
  <si>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</si>
  <si>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</si>
  <si>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</si>
  <si>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</si>
  <si>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jan</t>
  </si>
  <si>
    <t>(Tudo)</t>
  </si>
  <si>
    <t>&gt; bem vindo,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</si>
</sst>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FFFFFF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/>
    <xf numFmtId="0" fontId="5" fillId="0" borderId="2" xfId="1" applyFont="1" applyBorder="1"/>
    <xf numFmtId="0" fontId="0" fillId="0" borderId="2" xfId="0" applyBorder="1"/>
    <xf numFmtId="164" fontId="0" fillId="0" borderId="0" xfId="0" applyNumberFormat="1"/>
    <xf numFmtId="0" fontId="0" fillId="0" borderId="0" xfId="0" applyNumberFormat="1"/>
    <xf numFmtId="0" fontId="6" fillId="4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B523D98-7172-42DE-B78B-D3B8C941FAA0}">
      <tableStyleElement type="wholeTable" dxfId="15"/>
      <tableStyleElement type="headerRow" dxfId="14"/>
    </tableStyle>
  </tableStyles>
  <colors>
    <mruColors>
      <color rgb="FF22C55E"/>
      <color rgb="FFFFFFFF"/>
      <color rgb="FF2AE6B1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[Desafio_dashboard.xlsx]C̳álculos!tbl_anual_total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4-4D3B-BE78-2AA8EE4D5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2262288"/>
        <c:axId val="403721792"/>
      </c:barChart>
      <c:catAx>
        <c:axId val="40226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721792"/>
        <c:crosses val="autoZero"/>
        <c:auto val="1"/>
        <c:lblAlgn val="ctr"/>
        <c:lblOffset val="100"/>
        <c:noMultiLvlLbl val="0"/>
      </c:catAx>
      <c:valAx>
        <c:axId val="4037217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022622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[Desafio_dashboard.xlsx]C̳álculos!Tabela dinâmica1</c:name>
    <c:fmtId val="1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40-4259-A5F4-54364DE56D8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40-4259-A5F4-54364DE56D8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40-4259-A5F4-54364DE56D8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40-4259-A5F4-54364DE56D80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40-4259-A5F4-54364DE56D8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40-4259-A5F4-54364DE56D80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40-4259-A5F4-54364DE56D80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40-4259-A5F4-54364DE56D8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40-4259-A5F4-54364DE56D80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40-4259-A5F4-54364DE56D80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0-4259-A5F4-54364DE56D8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40-4259-A5F4-54364DE56D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C̳álculos!$B$50:$B$62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C̳álculos!$C$50:$C$62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0-4259-A5F4-54364DE56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2430063"/>
        <c:axId val="1512429583"/>
      </c:barChart>
      <c:catAx>
        <c:axId val="151243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2429583"/>
        <c:crosses val="autoZero"/>
        <c:auto val="1"/>
        <c:lblAlgn val="ctr"/>
        <c:lblOffset val="100"/>
        <c:noMultiLvlLbl val="0"/>
      </c:catAx>
      <c:valAx>
        <c:axId val="15124295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1243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369093</xdr:colOff>
      <xdr:row>0</xdr:row>
      <xdr:rowOff>107156</xdr:rowOff>
    </xdr:from>
    <xdr:to>
      <xdr:col>0</xdr:col>
      <xdr:colOff>1012030</xdr:colOff>
      <xdr:row>2</xdr:row>
      <xdr:rowOff>438816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5965B9-093E-42DF-BC58-ED2738D43E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r="71122"/>
        <a:stretch>
          <a:fillRect/>
        </a:stretch>
      </xdr:blipFill>
      <xdr:spPr>
        <a:xfrm>
          <a:off x="369093" y="107156"/>
          <a:ext cx="642937" cy="1022223"/>
        </a:xfrm>
        <a:prstGeom prst="rect">
          <a:avLst/>
        </a:prstGeom>
      </xdr:spPr>
    </xdr:pic>
    <xdr:clientData/>
  </xdr:twoCellAnchor>
  <xdr:twoCellAnchor>
    <xdr:from>
      <xdr:col>2</xdr:col>
      <xdr:colOff>275167</xdr:colOff>
      <xdr:row>14</xdr:row>
      <xdr:rowOff>63501</xdr:rowOff>
    </xdr:from>
    <xdr:to>
      <xdr:col>20</xdr:col>
      <xdr:colOff>74083</xdr:colOff>
      <xdr:row>29</xdr:row>
      <xdr:rowOff>148168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6DBD9C0E-4559-177B-B329-14E3061BCB26}"/>
            </a:ext>
          </a:extLst>
        </xdr:cNvPr>
        <xdr:cNvGrpSpPr/>
      </xdr:nvGrpSpPr>
      <xdr:grpSpPr>
        <a:xfrm>
          <a:off x="1853596" y="3274787"/>
          <a:ext cx="10643808" cy="2942167"/>
          <a:chOff x="1989667" y="1365250"/>
          <a:chExt cx="5344583" cy="2942167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16C10334-E4F7-FAD7-9579-0721151C81D7}"/>
              </a:ext>
            </a:extLst>
          </xdr:cNvPr>
          <xdr:cNvSpPr/>
        </xdr:nvSpPr>
        <xdr:spPr>
          <a:xfrm>
            <a:off x="1989667" y="1365250"/>
            <a:ext cx="5344583" cy="2942167"/>
          </a:xfrm>
          <a:prstGeom prst="roundRect">
            <a:avLst>
              <a:gd name="adj" fmla="val 659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0D6C0B1-487D-4346-8DFD-147628C6FEB9}"/>
              </a:ext>
            </a:extLst>
          </xdr:cNvPr>
          <xdr:cNvGraphicFramePr>
            <a:graphicFrameLocks/>
          </xdr:cNvGraphicFramePr>
        </xdr:nvGraphicFramePr>
        <xdr:xfrm>
          <a:off x="2320661" y="1502305"/>
          <a:ext cx="4611687" cy="27643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12</xdr:row>
      <xdr:rowOff>14008</xdr:rowOff>
    </xdr:from>
    <xdr:to>
      <xdr:col>0</xdr:col>
      <xdr:colOff>1312333</xdr:colOff>
      <xdr:row>26</xdr:row>
      <xdr:rowOff>22723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EF9574C-0121-431B-BAB3-E70168B3E4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44294"/>
              <a:ext cx="1312333" cy="2675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243417</xdr:colOff>
      <xdr:row>4</xdr:row>
      <xdr:rowOff>31750</xdr:rowOff>
    </xdr:from>
    <xdr:to>
      <xdr:col>9</xdr:col>
      <xdr:colOff>529167</xdr:colOff>
      <xdr:row>13</xdr:row>
      <xdr:rowOff>30506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E0B4DFB-3293-753C-18FB-4B52512C4631}"/>
            </a:ext>
          </a:extLst>
        </xdr:cNvPr>
        <xdr:cNvGrpSpPr/>
      </xdr:nvGrpSpPr>
      <xdr:grpSpPr>
        <a:xfrm>
          <a:off x="1821846" y="1310821"/>
          <a:ext cx="4572000" cy="1740471"/>
          <a:chOff x="1735667" y="1312333"/>
          <a:chExt cx="4582583" cy="1756834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F92E71E-9CBF-EBAA-F5A1-8958F8460A4A}"/>
              </a:ext>
            </a:extLst>
          </xdr:cNvPr>
          <xdr:cNvSpPr/>
        </xdr:nvSpPr>
        <xdr:spPr>
          <a:xfrm>
            <a:off x="1735667" y="1312333"/>
            <a:ext cx="4572000" cy="1756834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8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F0A9C52-6E41-49D8-ADA3-FECCB9D22E0A}"/>
              </a:ext>
            </a:extLst>
          </xdr:cNvPr>
          <xdr:cNvSpPr/>
        </xdr:nvSpPr>
        <xdr:spPr>
          <a:xfrm>
            <a:off x="3496734" y="1972734"/>
            <a:ext cx="2535765" cy="91440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3048C54-8AF4-4E09-8858-DCB26AB0D88B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pPr algn="ctr"/>
              <a:t>R$ 2.940,00</a:t>
            </a:fld>
            <a:endParaRPr lang="pt-BR" sz="3600">
              <a:solidFill>
                <a:srgbClr val="2AE6B1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C56FDEC-6810-4E33-B4D1-BFA7995672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63750" y="1820334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1B951978-B2A5-055B-ECDF-FFD1AB35427F}"/>
              </a:ext>
            </a:extLst>
          </xdr:cNvPr>
          <xdr:cNvSpPr/>
        </xdr:nvSpPr>
        <xdr:spPr>
          <a:xfrm>
            <a:off x="1735667" y="1312333"/>
            <a:ext cx="4582583" cy="62441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237067</xdr:colOff>
      <xdr:row>4</xdr:row>
      <xdr:rowOff>14816</xdr:rowOff>
    </xdr:from>
    <xdr:to>
      <xdr:col>18</xdr:col>
      <xdr:colOff>504264</xdr:colOff>
      <xdr:row>13</xdr:row>
      <xdr:rowOff>35984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C218727F-E078-7631-34A9-C793632D4F33}"/>
            </a:ext>
          </a:extLst>
        </xdr:cNvPr>
        <xdr:cNvGrpSpPr/>
      </xdr:nvGrpSpPr>
      <xdr:grpSpPr>
        <a:xfrm>
          <a:off x="6714067" y="1293887"/>
          <a:ext cx="4988876" cy="1762883"/>
          <a:chOff x="7962900" y="1337733"/>
          <a:chExt cx="4582583" cy="1756834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FE0279D7-A768-B1C5-0061-AA7BC864F4DA}"/>
              </a:ext>
            </a:extLst>
          </xdr:cNvPr>
          <xdr:cNvSpPr/>
        </xdr:nvSpPr>
        <xdr:spPr>
          <a:xfrm>
            <a:off x="7962900" y="1337733"/>
            <a:ext cx="4572000" cy="1756834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0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E289A19F-2CFF-9A2D-E859-40B603919E36}"/>
              </a:ext>
            </a:extLst>
          </xdr:cNvPr>
          <xdr:cNvSpPr/>
        </xdr:nvSpPr>
        <xdr:spPr>
          <a:xfrm>
            <a:off x="9708922" y="2114551"/>
            <a:ext cx="2737079" cy="91440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fld id="{22380F30-9998-40B1-9B9E-FDD0C9E194E3}" type="TxLink">
              <a:rPr lang="en-US" sz="3600" b="0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rPr>
              <a:pPr marL="0" indent="0" algn="ctr"/>
              <a:t>R$ 3.880,00</a:t>
            </a:fld>
            <a:endParaRPr lang="pt-BR" sz="3600" b="0" i="0" u="none" strike="noStrike">
              <a:solidFill>
                <a:srgbClr val="2AE6B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3485F923-FD87-7DF3-2913-DCA1024B3393}"/>
              </a:ext>
            </a:extLst>
          </xdr:cNvPr>
          <xdr:cNvSpPr/>
        </xdr:nvSpPr>
        <xdr:spPr>
          <a:xfrm>
            <a:off x="7962900" y="1337733"/>
            <a:ext cx="4582583" cy="62441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B3DA264E-9C22-48C9-839D-E14880E993DA}"/>
              </a:ext>
            </a:extLst>
          </xdr:cNvPr>
          <xdr:cNvGrpSpPr/>
        </xdr:nvGrpSpPr>
        <xdr:grpSpPr>
          <a:xfrm>
            <a:off x="8449734" y="2114551"/>
            <a:ext cx="1223433" cy="566209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FE715DC4-68AE-1A2B-1E22-CA9F216D48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C4E16816-1AE1-9122-FB8B-981DD78D55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206279</xdr:colOff>
      <xdr:row>40</xdr:row>
      <xdr:rowOff>180018</xdr:rowOff>
    </xdr:from>
    <xdr:to>
      <xdr:col>20</xdr:col>
      <xdr:colOff>43296</xdr:colOff>
      <xdr:row>68</xdr:row>
      <xdr:rowOff>38202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9DDA273-5433-431A-0E5C-79767C9B1FE0}"/>
            </a:ext>
          </a:extLst>
        </xdr:cNvPr>
        <xdr:cNvGrpSpPr/>
      </xdr:nvGrpSpPr>
      <xdr:grpSpPr>
        <a:xfrm>
          <a:off x="1784708" y="8344304"/>
          <a:ext cx="10681909" cy="5192184"/>
          <a:chOff x="2058458" y="7190316"/>
          <a:chExt cx="9158818" cy="4409546"/>
        </a:xfrm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4FC84F5A-7B6E-C217-14ED-367950D50278}"/>
              </a:ext>
            </a:extLst>
          </xdr:cNvPr>
          <xdr:cNvSpPr/>
        </xdr:nvSpPr>
        <xdr:spPr>
          <a:xfrm>
            <a:off x="2058458" y="7232650"/>
            <a:ext cx="9158818" cy="4328583"/>
          </a:xfrm>
          <a:prstGeom prst="roundRect">
            <a:avLst>
              <a:gd name="adj" fmla="val 5885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3F407FDE-E3CC-45A8-8830-B32DE2D3E278}"/>
              </a:ext>
            </a:extLst>
          </xdr:cNvPr>
          <xdr:cNvGraphicFramePr>
            <a:graphicFrameLocks/>
          </xdr:cNvGraphicFramePr>
        </xdr:nvGraphicFramePr>
        <xdr:xfrm>
          <a:off x="2469091" y="7190316"/>
          <a:ext cx="8625418" cy="44095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2</xdr:col>
      <xdr:colOff>295757</xdr:colOff>
      <xdr:row>30</xdr:row>
      <xdr:rowOff>102368</xdr:rowOff>
    </xdr:from>
    <xdr:to>
      <xdr:col>9</xdr:col>
      <xdr:colOff>535998</xdr:colOff>
      <xdr:row>40</xdr:row>
      <xdr:rowOff>70138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80B648F8-6A8B-168E-0083-7F241674955F}"/>
            </a:ext>
          </a:extLst>
        </xdr:cNvPr>
        <xdr:cNvGrpSpPr/>
      </xdr:nvGrpSpPr>
      <xdr:grpSpPr>
        <a:xfrm>
          <a:off x="1874186" y="6361654"/>
          <a:ext cx="4526491" cy="1872770"/>
          <a:chOff x="11432854" y="1252145"/>
          <a:chExt cx="4530632" cy="1875782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33909CB-873A-4E26-9EBB-733DFFA672D7}"/>
              </a:ext>
            </a:extLst>
          </xdr:cNvPr>
          <xdr:cNvGrpSpPr/>
        </xdr:nvGrpSpPr>
        <xdr:grpSpPr>
          <a:xfrm>
            <a:off x="11432854" y="1252145"/>
            <a:ext cx="4530632" cy="1875782"/>
            <a:chOff x="1735667" y="1312333"/>
            <a:chExt cx="4582583" cy="1756834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643200C5-7D15-7494-E3A0-C5F017FA48BF}"/>
                </a:ext>
              </a:extLst>
            </xdr:cNvPr>
            <xdr:cNvSpPr/>
          </xdr:nvSpPr>
          <xdr:spPr>
            <a:xfrm>
              <a:off x="1735667" y="1312333"/>
              <a:ext cx="4572000" cy="1756834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800"/>
                <a:t>R$ 2.308,00</a:t>
              </a:r>
            </a:p>
          </xdr:txBody>
        </xdr:sp>
        <xdr:sp macro="" textlink="C̳álculos!AB87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F767303D-5CE2-118D-B09A-3C9F4943D4D9}"/>
                </a:ext>
              </a:extLst>
            </xdr:cNvPr>
            <xdr:cNvSpPr/>
          </xdr:nvSpPr>
          <xdr:spPr>
            <a:xfrm>
              <a:off x="2239434" y="1972734"/>
              <a:ext cx="3793066" cy="91440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36DB4766-3B30-4741-B35D-862101922ADA}" type="TxLink">
                <a:rPr lang="en-US" sz="3600" b="0" i="0" u="none" strike="noStrike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fld>
              <a:endParaRPr lang="pt-BR" sz="3600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4522666D-CCE4-597F-9A51-978DEF6E34EF}"/>
                </a:ext>
              </a:extLst>
            </xdr:cNvPr>
            <xdr:cNvSpPr/>
          </xdr:nvSpPr>
          <xdr:spPr>
            <a:xfrm>
              <a:off x="1735667" y="1312333"/>
              <a:ext cx="4582583" cy="62441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VENDAS POR MÊS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E61">
        <xdr:nvSpPr>
          <xdr:cNvPr id="31" name="CaixaDeTexto 30">
            <a:extLst>
              <a:ext uri="{FF2B5EF4-FFF2-40B4-BE49-F238E27FC236}">
                <a16:creationId xmlns:a16="http://schemas.microsoft.com/office/drawing/2014/main" id="{D054BB05-B74A-10F0-1AC6-38776A1F0F32}"/>
              </a:ext>
            </a:extLst>
          </xdr:cNvPr>
          <xdr:cNvSpPr txBox="1"/>
        </xdr:nvSpPr>
        <xdr:spPr>
          <a:xfrm>
            <a:off x="12479822" y="2089702"/>
            <a:ext cx="2585002" cy="8572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C22C8F0-C469-4D98-B2B2-B00879F0B9B9}" type="TxLink">
              <a:rPr lang="en-US" sz="3600" b="0" i="0" u="none" strike="noStrike">
                <a:ln>
                  <a:noFill/>
                </a:ln>
                <a:solidFill>
                  <a:srgbClr val="2AE6B1"/>
                </a:solidFill>
                <a:latin typeface="Aptos Narrow"/>
              </a:rPr>
              <a:t>R$ 7.633,00</a:t>
            </a:fld>
            <a:endParaRPr lang="pt-BR" sz="3600">
              <a:ln>
                <a:noFill/>
              </a:ln>
              <a:solidFill>
                <a:srgbClr val="2AE6B1"/>
              </a:solidFill>
            </a:endParaRPr>
          </a:p>
        </xdr:txBody>
      </xdr:sp>
    </xdr:grpSp>
    <xdr:clientData/>
  </xdr:twoCellAnchor>
  <xdr:twoCellAnchor>
    <xdr:from>
      <xdr:col>0</xdr:col>
      <xdr:colOff>156882</xdr:colOff>
      <xdr:row>2</xdr:row>
      <xdr:rowOff>369795</xdr:rowOff>
    </xdr:from>
    <xdr:to>
      <xdr:col>0</xdr:col>
      <xdr:colOff>852207</xdr:colOff>
      <xdr:row>7</xdr:row>
      <xdr:rowOff>112620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AFCE7F38-88E6-47DD-8BCF-2D21CF606ED5}"/>
            </a:ext>
          </a:extLst>
        </xdr:cNvPr>
        <xdr:cNvSpPr/>
      </xdr:nvSpPr>
      <xdr:spPr>
        <a:xfrm>
          <a:off x="156882" y="1053354"/>
          <a:ext cx="695325" cy="695325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n Koiti Sonobe" refreshedDate="46007.388607986111" createdVersion="8" refreshedVersion="8" minRefreshableVersion="3" recordCount="295" xr:uid="{E39F1833-B5AB-4E44-BCC5-E1F61A1A4629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6544678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D1F0F-15E9-4ED5-9664-DA5E9AB47473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B49:C62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4"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9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9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FD043-07DC-4EE0-BDAB-F408892E7F96}" name="tbl_minecraft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6:C40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sd="0" x="0"/>
        <item sd="0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57D07-C594-4C82-967A-925AD9DA5044}" name="tbl_easeasonplay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4:C28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sd="0" x="0"/>
        <item sd="0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20C7F-7690-4433-9D1C-FA1792CFBF67}" name="tbl_an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3:C16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3A4485F-A630-4D50-BB3D-FADCC94B75CF}" sourceName="Subscription Type">
  <pivotTables>
    <pivotTable tabId="3" name="tbl_anual_total"/>
    <pivotTable tabId="3" name="tbl_easeasonplay_total"/>
    <pivotTable tabId="3" name="tbl_minecraft"/>
    <pivotTable tabId="3" name="Tabela dinâmica1"/>
  </pivotTables>
  <data>
    <tabular pivotCacheId="65446788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6DEC2E8-59AF-4D20-956E-20C7517EDE2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8" sqref="B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62"/>
  <sheetViews>
    <sheetView showGridLines="0" topLeftCell="A31" workbookViewId="0">
      <selection activeCell="B8" sqref="B8"/>
    </sheetView>
  </sheetViews>
  <sheetFormatPr defaultRowHeight="15" x14ac:dyDescent="0.25"/>
  <cols>
    <col min="2" max="2" width="18.42578125" bestFit="1" customWidth="1"/>
    <col min="3" max="4" width="19.28515625" bestFit="1" customWidth="1"/>
    <col min="5" max="5" width="8.71093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5" spans="2:3" x14ac:dyDescent="0.25">
      <c r="B5" t="s">
        <v>317</v>
      </c>
    </row>
    <row r="6" spans="2:3" x14ac:dyDescent="0.25">
      <c r="B6" t="s">
        <v>318</v>
      </c>
    </row>
    <row r="11" spans="2:3" x14ac:dyDescent="0.25">
      <c r="B11" s="12" t="s">
        <v>16</v>
      </c>
      <c r="C11" t="s">
        <v>337</v>
      </c>
    </row>
    <row r="12" spans="2:3" x14ac:dyDescent="0.25">
      <c r="B12" s="15"/>
    </row>
    <row r="13" spans="2:3" x14ac:dyDescent="0.25">
      <c r="B13" s="12" t="s">
        <v>314</v>
      </c>
      <c r="C13" t="s">
        <v>316</v>
      </c>
    </row>
    <row r="14" spans="2:3" x14ac:dyDescent="0.25">
      <c r="B14" s="13" t="s">
        <v>23</v>
      </c>
      <c r="C14" s="14">
        <v>3847</v>
      </c>
    </row>
    <row r="15" spans="2:3" x14ac:dyDescent="0.25">
      <c r="B15" s="13" t="s">
        <v>19</v>
      </c>
      <c r="C15" s="14">
        <v>3786</v>
      </c>
    </row>
    <row r="16" spans="2:3" x14ac:dyDescent="0.25">
      <c r="B16" s="13" t="s">
        <v>315</v>
      </c>
      <c r="C16" s="14">
        <v>7633</v>
      </c>
    </row>
    <row r="20" spans="2:5" x14ac:dyDescent="0.25">
      <c r="B20" t="s">
        <v>319</v>
      </c>
    </row>
    <row r="22" spans="2:5" x14ac:dyDescent="0.25">
      <c r="B22" s="12" t="s">
        <v>16</v>
      </c>
      <c r="C22" t="s">
        <v>337</v>
      </c>
    </row>
    <row r="23" spans="2:5" x14ac:dyDescent="0.25">
      <c r="B23" s="15"/>
    </row>
    <row r="24" spans="2:5" x14ac:dyDescent="0.25">
      <c r="B24" s="12" t="s">
        <v>314</v>
      </c>
      <c r="C24" t="s">
        <v>320</v>
      </c>
    </row>
    <row r="25" spans="2:5" x14ac:dyDescent="0.25">
      <c r="B25" s="13" t="s">
        <v>22</v>
      </c>
      <c r="C25" s="19">
        <v>0</v>
      </c>
    </row>
    <row r="26" spans="2:5" x14ac:dyDescent="0.25">
      <c r="B26" s="13" t="s">
        <v>26</v>
      </c>
      <c r="C26" s="19">
        <v>0</v>
      </c>
    </row>
    <row r="27" spans="2:5" x14ac:dyDescent="0.25">
      <c r="B27" s="13" t="s">
        <v>18</v>
      </c>
      <c r="C27" s="19">
        <v>2940</v>
      </c>
    </row>
    <row r="28" spans="2:5" x14ac:dyDescent="0.25">
      <c r="B28" s="13" t="s">
        <v>315</v>
      </c>
      <c r="C28" s="19">
        <v>2940</v>
      </c>
      <c r="E28" s="18">
        <f>GETPIVOTDATA("EA Play Season Pass
Price",$B$24)</f>
        <v>2940</v>
      </c>
    </row>
    <row r="29" spans="2:5" x14ac:dyDescent="0.25">
      <c r="E29" s="18">
        <f>GETPIVOTDATA("EA Play Season Pass
Price",$B$24)</f>
        <v>2940</v>
      </c>
    </row>
    <row r="32" spans="2:5" x14ac:dyDescent="0.25">
      <c r="B32" t="s">
        <v>322</v>
      </c>
    </row>
    <row r="34" spans="2:5" x14ac:dyDescent="0.25">
      <c r="B34" s="12" t="s">
        <v>16</v>
      </c>
      <c r="C34" t="s">
        <v>337</v>
      </c>
    </row>
    <row r="35" spans="2:5" x14ac:dyDescent="0.25">
      <c r="B35" s="15"/>
    </row>
    <row r="36" spans="2:5" x14ac:dyDescent="0.25">
      <c r="B36" s="12" t="s">
        <v>314</v>
      </c>
      <c r="C36" t="s">
        <v>323</v>
      </c>
    </row>
    <row r="37" spans="2:5" x14ac:dyDescent="0.25">
      <c r="B37" s="13" t="s">
        <v>22</v>
      </c>
      <c r="C37" s="14">
        <v>0</v>
      </c>
    </row>
    <row r="38" spans="2:5" x14ac:dyDescent="0.25">
      <c r="B38" s="13" t="s">
        <v>26</v>
      </c>
      <c r="C38" s="14">
        <v>1920</v>
      </c>
    </row>
    <row r="39" spans="2:5" x14ac:dyDescent="0.25">
      <c r="B39" s="13" t="s">
        <v>18</v>
      </c>
      <c r="C39" s="14">
        <v>1960</v>
      </c>
    </row>
    <row r="40" spans="2:5" x14ac:dyDescent="0.25">
      <c r="B40" s="13" t="s">
        <v>315</v>
      </c>
      <c r="C40" s="14">
        <v>3880</v>
      </c>
      <c r="E40" s="18">
        <f>GETPIVOTDATA("Minecraft Season Pass Price",$B$36)</f>
        <v>3880</v>
      </c>
    </row>
    <row r="45" spans="2:5" x14ac:dyDescent="0.25">
      <c r="B45" t="s">
        <v>324</v>
      </c>
    </row>
    <row r="47" spans="2:5" x14ac:dyDescent="0.25">
      <c r="B47" s="12" t="s">
        <v>16</v>
      </c>
      <c r="C47" t="s">
        <v>337</v>
      </c>
    </row>
    <row r="48" spans="2:5" x14ac:dyDescent="0.25">
      <c r="B48" s="15"/>
    </row>
    <row r="49" spans="2:5" x14ac:dyDescent="0.25">
      <c r="B49" s="12" t="s">
        <v>314</v>
      </c>
      <c r="C49" t="s">
        <v>316</v>
      </c>
    </row>
    <row r="50" spans="2:5" x14ac:dyDescent="0.25">
      <c r="B50" s="13" t="s">
        <v>336</v>
      </c>
      <c r="C50" s="14">
        <v>65</v>
      </c>
    </row>
    <row r="51" spans="2:5" x14ac:dyDescent="0.25">
      <c r="B51" s="13" t="s">
        <v>335</v>
      </c>
      <c r="C51" s="14">
        <v>82</v>
      </c>
    </row>
    <row r="52" spans="2:5" x14ac:dyDescent="0.25">
      <c r="B52" s="13" t="s">
        <v>325</v>
      </c>
      <c r="C52" s="14">
        <v>801</v>
      </c>
    </row>
    <row r="53" spans="2:5" x14ac:dyDescent="0.25">
      <c r="B53" s="13" t="s">
        <v>326</v>
      </c>
      <c r="C53" s="14">
        <v>782</v>
      </c>
    </row>
    <row r="54" spans="2:5" x14ac:dyDescent="0.25">
      <c r="B54" s="13" t="s">
        <v>327</v>
      </c>
      <c r="C54" s="14">
        <v>777</v>
      </c>
    </row>
    <row r="55" spans="2:5" x14ac:dyDescent="0.25">
      <c r="B55" s="13" t="s">
        <v>328</v>
      </c>
      <c r="C55" s="14">
        <v>770</v>
      </c>
    </row>
    <row r="56" spans="2:5" x14ac:dyDescent="0.25">
      <c r="B56" s="13" t="s">
        <v>329</v>
      </c>
      <c r="C56" s="14">
        <v>784</v>
      </c>
    </row>
    <row r="57" spans="2:5" x14ac:dyDescent="0.25">
      <c r="B57" s="13" t="s">
        <v>330</v>
      </c>
      <c r="C57" s="14">
        <v>787</v>
      </c>
    </row>
    <row r="58" spans="2:5" x14ac:dyDescent="0.25">
      <c r="B58" s="13" t="s">
        <v>331</v>
      </c>
      <c r="C58" s="14">
        <v>780</v>
      </c>
    </row>
    <row r="59" spans="2:5" x14ac:dyDescent="0.25">
      <c r="B59" s="13" t="s">
        <v>332</v>
      </c>
      <c r="C59" s="14">
        <v>832</v>
      </c>
    </row>
    <row r="60" spans="2:5" x14ac:dyDescent="0.25">
      <c r="B60" s="13" t="s">
        <v>333</v>
      </c>
      <c r="C60" s="14">
        <v>784</v>
      </c>
    </row>
    <row r="61" spans="2:5" x14ac:dyDescent="0.25">
      <c r="B61" s="13" t="s">
        <v>334</v>
      </c>
      <c r="C61" s="14">
        <v>389</v>
      </c>
      <c r="E61" s="18">
        <f>GETPIVOTDATA("Total Value",$B$49)</f>
        <v>7633</v>
      </c>
    </row>
    <row r="62" spans="2:5" x14ac:dyDescent="0.25">
      <c r="B62" s="13" t="s">
        <v>315</v>
      </c>
      <c r="C62" s="14">
        <v>7633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V396"/>
  <sheetViews>
    <sheetView showGridLines="0" tabSelected="1" zoomScale="70" zoomScaleNormal="70" workbookViewId="0">
      <selection activeCell="AA21" sqref="AA21"/>
    </sheetView>
  </sheetViews>
  <sheetFormatPr defaultRowHeight="15" x14ac:dyDescent="0.25"/>
  <cols>
    <col min="1" max="1" width="20" style="4" customWidth="1"/>
    <col min="2" max="2" width="3.5703125" customWidth="1"/>
    <col min="12" max="12" width="6.5703125" customWidth="1"/>
  </cols>
  <sheetData>
    <row r="2" spans="1:48" ht="39" customHeight="1" thickBot="1" x14ac:dyDescent="0.5">
      <c r="C2" s="16" t="s">
        <v>321</v>
      </c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48" ht="39" customHeight="1" thickTop="1" x14ac:dyDescent="0.25"/>
    <row r="4" spans="1:48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 spans="1:48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spans="1:48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spans="1:48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 spans="1:48" ht="16.5" x14ac:dyDescent="0.3">
      <c r="A9" s="20" t="s">
        <v>338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spans="1:48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spans="1:4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 spans="1:48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 spans="1:48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spans="1:48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spans="1:48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spans="1:48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 spans="2:48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</row>
    <row r="18" spans="2:48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r="19" spans="2:48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 spans="2:48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spans="2:48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spans="2:48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spans="2:48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spans="2:48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spans="2:48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r="26" spans="2:48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r="27" spans="2:48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2:48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2:48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2:48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2:48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2:48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2:48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2:48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2:48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2:48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2:48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2:48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2:48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2:48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2:48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2:48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2:48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2:48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2:48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2:48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2:48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2:48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2:48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2:48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2:48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2:48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2:48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2:48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2:48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2:48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2:48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2:48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2:48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2:48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2:48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2:48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2:48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2:48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2:48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2:48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2:48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2:48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2:48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2:48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2:48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2:48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2:48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2:48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2:48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2:48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2:48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2:48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2:48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2:48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2:48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2:48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2:48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2:48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2:48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2:48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2:48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2:48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2:48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2:48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2:48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2:48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2:48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2:48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2:48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2:48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2:48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2:48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2:48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2:48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2:48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2:48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2:48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2:48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2:48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2:48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2:48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2:48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2:48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2:48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2:48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r="112" spans="2:48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r="113" spans="2:48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r="114" spans="2:48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r="115" spans="2:48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r="116" spans="2:48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r="117" spans="2:48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r="118" spans="2:48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r="119" spans="2:48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r="120" spans="2:48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r="121" spans="2:48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r="122" spans="2:48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r="123" spans="2:48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r="124" spans="2:48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r="125" spans="2:48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r="126" spans="2:48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r="127" spans="2:48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r="128" spans="2:48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r="129" spans="2:48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r="130" spans="2:48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2:48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r="132" spans="2:48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r="133" spans="2:48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r="134" spans="2:48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r="135" spans="2:48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r="136" spans="2:48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r="137" spans="2:48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spans="2:48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spans="2:48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spans="2:48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spans="2:48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spans="2:48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spans="2:48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spans="2:48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spans="2:48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spans="2:48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spans="2:48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spans="2:48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spans="2:48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spans="2:48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spans="2:48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spans="2:48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spans="2:48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spans="2:48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spans="2:48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spans="2:48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spans="2:48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spans="2:48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spans="2:48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spans="2:48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spans="2:48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spans="2:48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spans="2:48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spans="2:48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spans="2:48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spans="2:48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spans="2:48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spans="2:48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spans="2:48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spans="2:48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spans="2:48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spans="2:48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spans="2:48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spans="2:48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spans="2:48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spans="2:48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spans="2:48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spans="2:48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spans="2:48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spans="2:48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spans="2:48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spans="2:48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spans="2:48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spans="2:48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spans="2:48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spans="2:48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spans="2:48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spans="2:48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spans="2:48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spans="2:48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spans="2:48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spans="2:48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spans="2:48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spans="2:48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spans="2:48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spans="2:48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spans="2:48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spans="2:48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spans="2:48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spans="2:48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spans="2:48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spans="2:48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spans="2:48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spans="2:48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spans="2:48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spans="2:48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spans="2:48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spans="2:48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spans="2:48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2:48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spans="2:48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spans="2:48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spans="2:48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spans="2:48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spans="2:48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spans="2:48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spans="2:48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spans="2:48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spans="2:48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spans="2:48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spans="2:48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spans="2:48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spans="2:48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spans="2:48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spans="2:48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spans="2:48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spans="2:48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spans="2:48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spans="2:48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spans="2:48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spans="2:48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spans="2:48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spans="2:48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spans="2:48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spans="2:48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spans="2:48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spans="2:48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spans="2:48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spans="2:48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spans="2:48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spans="2:48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spans="2:48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spans="2:48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spans="2:48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spans="2:48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spans="2:48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spans="2:48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spans="2:48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spans="2:48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spans="2:48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spans="2:48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spans="2:48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spans="2:48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spans="2:48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spans="2:48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spans="2:48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spans="2:48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spans="2:48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spans="2:48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spans="2:48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spans="2:48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spans="2:48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spans="2:48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spans="2:48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spans="2:48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spans="2:48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spans="2:48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spans="2:48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spans="2:48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spans="2:48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spans="2:48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spans="2:48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spans="2:48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spans="2:48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spans="2:48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spans="2:48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spans="2:48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spans="2:48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spans="2:48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spans="2:48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spans="2:48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spans="2:48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spans="2:48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spans="2:48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spans="2:48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spans="2:48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spans="2:48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spans="2:48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spans="2:48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spans="2:48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spans="2:48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spans="2:48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spans="2:48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spans="2:48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spans="2:48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spans="2:48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spans="2:48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spans="2:48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spans="2:48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spans="2:48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spans="2:48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spans="2:48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spans="2:48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spans="2:48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spans="2:48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spans="2:48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spans="2:48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spans="2:48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spans="2:48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spans="2:48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spans="2:48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spans="2:48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spans="2:48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spans="2:48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spans="2:48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spans="2:48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spans="2:48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spans="2:48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spans="2:48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spans="2:48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spans="2:48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spans="2:48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spans="2:48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spans="2:48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spans="2:48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spans="2:48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spans="2:48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spans="2:48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spans="2:48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spans="2:48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spans="2:48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spans="2:48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spans="2:48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spans="2:48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spans="2:48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spans="2:48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spans="2:48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spans="2:48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spans="2:48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spans="2:48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spans="2:48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spans="2:48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spans="2:48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spans="2:48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spans="2:48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spans="2:48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spans="2:48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spans="2:48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spans="2:48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spans="2:48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spans="2:48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spans="2:48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spans="2:48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spans="2:48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spans="2:48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spans="2:48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spans="2:48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spans="2:48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spans="2:48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spans="2:48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spans="2:48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spans="2:48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spans="2:48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spans="2:48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spans="2:48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spans="2:48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spans="2:48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spans="2:48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spans="2:48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spans="2:48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spans="2:48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spans="2:48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spans="2:48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spans="2:48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spans="2:48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spans="2:48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spans="2:48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spans="2:48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spans="2:48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spans="2:48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spans="2:48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spans="2:48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spans="2:48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spans="2:48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spans="2:48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spans="2:48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spans="2:48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spans="2:48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spans="2:48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spans="2:48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spans="2:48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spans="2:48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spans="2:48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spans="2:48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spans="2:48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spans="2:48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Ronan Koiti Sonobe</cp:lastModifiedBy>
  <dcterms:created xsi:type="dcterms:W3CDTF">2024-12-19T13:13:10Z</dcterms:created>
  <dcterms:modified xsi:type="dcterms:W3CDTF">2025-12-16T12:56:09Z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